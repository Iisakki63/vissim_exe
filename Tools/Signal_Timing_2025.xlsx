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DEVE\vissim_exe\Tools\"/>
    </mc:Choice>
  </mc:AlternateContent>
  <xr:revisionPtr revIDLastSave="0" documentId="13_ncr:1_{9E67C28C-BAA0-4FDD-90CC-EB7D1186880E}" xr6:coauthVersionLast="47" xr6:coauthVersionMax="47" xr10:uidLastSave="{00000000-0000-0000-0000-000000000000}"/>
  <bookViews>
    <workbookView xWindow="390" yWindow="390" windowWidth="2160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D12" i="1"/>
  <c r="D11" i="1"/>
  <c r="D6" i="1"/>
  <c r="D5" i="1"/>
  <c r="D4" i="1"/>
  <c r="D7" i="1" l="1"/>
  <c r="F4" i="1" s="1"/>
  <c r="G6" i="1" s="1"/>
  <c r="G5" i="1"/>
  <c r="D14" i="1"/>
  <c r="F11" i="1" s="1"/>
  <c r="G12" i="1" s="1"/>
  <c r="G4" i="1" l="1"/>
  <c r="G7" i="1" s="1"/>
  <c r="G11" i="1"/>
  <c r="G14" i="1" s="1"/>
  <c r="G13" i="1"/>
</calcChain>
</file>

<file path=xl/sharedStrings.xml><?xml version="1.0" encoding="utf-8"?>
<sst xmlns="http://schemas.openxmlformats.org/spreadsheetml/2006/main" count="23" uniqueCount="13">
  <si>
    <t>Fixed Time SignalControl</t>
  </si>
  <si>
    <t>Phase 1</t>
  </si>
  <si>
    <t>Phase 2</t>
  </si>
  <si>
    <t>Phase 3</t>
  </si>
  <si>
    <t>s</t>
  </si>
  <si>
    <t>q</t>
  </si>
  <si>
    <t>q/s</t>
  </si>
  <si>
    <t>Sum q/s</t>
  </si>
  <si>
    <t>F</t>
  </si>
  <si>
    <t>C</t>
  </si>
  <si>
    <t>g</t>
  </si>
  <si>
    <t>Junction 2 (on the rigth)</t>
  </si>
  <si>
    <t>Junction 1 (on the left)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</si>
</sst>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B6" sqref="B6"/>
    </sheetView>
  </sheetViews>
  <sheetFormatPr defaultRowHeight="15" x14ac:dyDescent="0.25"/>
  <cols>
    <col min="1" max="1" width="21.28515625" customWidth="1"/>
    <col min="2" max="2" width="13.28515625" customWidth="1"/>
    <col min="3" max="3" width="12.85546875" customWidth="1"/>
    <col min="4" max="4" width="10.7109375" customWidth="1"/>
    <col min="5" max="5" width="12.140625" customWidth="1"/>
    <col min="6" max="6" width="16.28515625" customWidth="1"/>
    <col min="7" max="7" width="14.28515625" customWidth="1"/>
  </cols>
  <sheetData>
    <row r="1" spans="1:7" x14ac:dyDescent="0.25">
      <c r="A1" s="4" t="s">
        <v>0</v>
      </c>
    </row>
    <row r="3" spans="1:7" x14ac:dyDescent="0.25">
      <c r="A3" t="s">
        <v>12</v>
      </c>
      <c r="B3" s="1" t="s">
        <v>5</v>
      </c>
      <c r="C3" s="1" t="s">
        <v>4</v>
      </c>
      <c r="D3" s="1" t="s">
        <v>6</v>
      </c>
      <c r="E3" s="1" t="s">
        <v>8</v>
      </c>
      <c r="F3" s="1" t="s">
        <v>9</v>
      </c>
      <c r="G3" s="1" t="s">
        <v>10</v>
      </c>
    </row>
    <row r="4" spans="1:7" x14ac:dyDescent="0.25">
      <c r="A4" t="s">
        <v>1</v>
      </c>
      <c r="C4">
        <v>1800</v>
      </c>
      <c r="D4" s="2">
        <f>B4/C4</f>
        <v>0</v>
      </c>
      <c r="E4">
        <v>15</v>
      </c>
      <c r="F4" s="3">
        <f>(1.5*E4+5)/(1-D7)</f>
        <v>27.5</v>
      </c>
      <c r="G4" s="3" t="e">
        <f>(F4-E4)*D4/D7</f>
        <v>#DIV/0!</v>
      </c>
    </row>
    <row r="5" spans="1:7" x14ac:dyDescent="0.25">
      <c r="A5" t="s">
        <v>2</v>
      </c>
      <c r="C5">
        <v>1800</v>
      </c>
      <c r="D5" s="2">
        <f t="shared" ref="D5:D6" si="0">B5/C5</f>
        <v>0</v>
      </c>
      <c r="G5" s="3" t="e">
        <f>(F4-E4)*D5/D7</f>
        <v>#DIV/0!</v>
      </c>
    </row>
    <row r="6" spans="1:7" x14ac:dyDescent="0.25">
      <c r="A6" t="s">
        <v>3</v>
      </c>
      <c r="C6">
        <v>1800</v>
      </c>
      <c r="D6" s="2">
        <f t="shared" si="0"/>
        <v>0</v>
      </c>
      <c r="G6" s="3" t="e">
        <f>(F4-E4)*D6/D7</f>
        <v>#DIV/0!</v>
      </c>
    </row>
    <row r="7" spans="1:7" x14ac:dyDescent="0.25">
      <c r="A7" t="s">
        <v>7</v>
      </c>
      <c r="D7" s="2">
        <f>SUM(D4:D6)</f>
        <v>0</v>
      </c>
      <c r="G7" s="3" t="e">
        <f>SUM(G4:G6)</f>
        <v>#DIV/0!</v>
      </c>
    </row>
    <row r="10" spans="1:7" x14ac:dyDescent="0.25">
      <c r="A10" t="s">
        <v>11</v>
      </c>
      <c r="B10" s="1" t="s">
        <v>5</v>
      </c>
      <c r="C10" s="1" t="s">
        <v>4</v>
      </c>
      <c r="D10" s="1" t="s">
        <v>6</v>
      </c>
      <c r="E10" s="1" t="s">
        <v>8</v>
      </c>
      <c r="F10" s="1" t="s">
        <v>9</v>
      </c>
      <c r="G10" s="1" t="s">
        <v>10</v>
      </c>
    </row>
    <row r="11" spans="1:7" x14ac:dyDescent="0.25">
      <c r="A11" t="s">
        <v>1</v>
      </c>
      <c r="C11">
        <v>1800</v>
      </c>
      <c r="D11" s="2">
        <f>B11/C11</f>
        <v>0</v>
      </c>
      <c r="E11">
        <v>15</v>
      </c>
      <c r="F11" s="3">
        <f>(1.5*E11+5)/(1-D14)</f>
        <v>27.5</v>
      </c>
      <c r="G11" s="3" t="e">
        <f>(F11-E11)*D11/D14</f>
        <v>#DIV/0!</v>
      </c>
    </row>
    <row r="12" spans="1:7" x14ac:dyDescent="0.25">
      <c r="A12" t="s">
        <v>2</v>
      </c>
      <c r="C12">
        <v>1800</v>
      </c>
      <c r="D12" s="2">
        <f t="shared" ref="D12:D13" si="1">B12/C12</f>
        <v>0</v>
      </c>
      <c r="G12" s="3" t="e">
        <f>(F11-E11)*D12/D14</f>
        <v>#DIV/0!</v>
      </c>
    </row>
    <row r="13" spans="1:7" x14ac:dyDescent="0.25">
      <c r="A13" t="s">
        <v>3</v>
      </c>
      <c r="C13">
        <v>1800</v>
      </c>
      <c r="D13" s="2">
        <f t="shared" si="1"/>
        <v>0</v>
      </c>
      <c r="G13" s="3" t="e">
        <f>(F11-E11)*D13/D14</f>
        <v>#DIV/0!</v>
      </c>
    </row>
    <row r="14" spans="1:7" x14ac:dyDescent="0.25">
      <c r="A14" t="s">
        <v>7</v>
      </c>
      <c r="D14" s="2">
        <f>SUM(D11:D13)</f>
        <v>0</v>
      </c>
      <c r="G14" s="3" t="e">
        <f>SUM(G11:G13)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Iisakki Kosonen</dc:creator>
  <cp:lastModifiedBy>Kosonen Iisakki</cp:lastModifiedBy>
  <dcterms:created xsi:type="dcterms:W3CDTF">2015-06-05T18:17:20Z</dcterms:created>
  <dcterms:modified xsi:type="dcterms:W3CDTF">2026-05-17T13:11:56Z</dcterms:modified>
</cp:coreProperties>
</file>